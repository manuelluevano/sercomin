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manuelluevano/DEVELOPER/SERCOMIN/sercomin/app/area-interna/cotizador/template/"/>
    </mc:Choice>
  </mc:AlternateContent>
  <xr:revisionPtr revIDLastSave="0" documentId="13_ncr:1_{08B07B2A-522F-8649-A147-030ED5710271}" xr6:coauthVersionLast="47" xr6:coauthVersionMax="47" xr10:uidLastSave="{00000000-0000-0000-0000-000000000000}"/>
  <bookViews>
    <workbookView xWindow="0" yWindow="620" windowWidth="33600" windowHeight="19120" xr2:uid="{00000000-000D-0000-FFFF-FFFF00000000}"/>
  </bookViews>
  <sheets>
    <sheet name="SERCOMIN" sheetId="1" r:id="rId1"/>
  </sheets>
  <definedNames>
    <definedName name="_xlnm.Print_Area" localSheetId="0">SERCOMIN!$A$1:$J$58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4" i="1" l="1"/>
  <c r="J16" i="1" s="1"/>
  <c r="J10" i="1"/>
  <c r="J17" i="1" l="1"/>
  <c r="J18" i="1" l="1"/>
</calcChain>
</file>

<file path=xl/sharedStrings.xml><?xml version="1.0" encoding="utf-8"?>
<sst xmlns="http://schemas.openxmlformats.org/spreadsheetml/2006/main" count="55" uniqueCount="39">
  <si>
    <t>Cotización</t>
  </si>
  <si>
    <t>CANTIDAD</t>
  </si>
  <si>
    <t>DESCRIPCIÓN</t>
  </si>
  <si>
    <t>NÚMERO DE PARTE</t>
  </si>
  <si>
    <t>EXISTENCIA</t>
  </si>
  <si>
    <t>TEIMPO DE ENTREGA</t>
  </si>
  <si>
    <t>PRECIO UNITARIO</t>
  </si>
  <si>
    <t>SUBTOTAL</t>
  </si>
  <si>
    <t xml:space="preserve"> </t>
  </si>
  <si>
    <t>SUMA</t>
  </si>
  <si>
    <t>IVA 16%</t>
  </si>
  <si>
    <t>TOTAL</t>
  </si>
  <si>
    <t xml:space="preserve">                                                                                        Atentamente</t>
  </si>
  <si>
    <t>** LAB: Guadalajara</t>
  </si>
  <si>
    <t xml:space="preserve">  </t>
  </si>
  <si>
    <t>** Precios en PESOS</t>
  </si>
  <si>
    <r>
      <t xml:space="preserve">** Precios </t>
    </r>
    <r>
      <rPr>
        <b/>
        <i/>
        <sz val="14"/>
        <color theme="1"/>
        <rFont val="Sansation"/>
      </rPr>
      <t>más el 16% de IVA</t>
    </r>
  </si>
  <si>
    <t>www.sercomin.com.mx</t>
  </si>
  <si>
    <t>** Sujeto a disponibilidad</t>
  </si>
  <si>
    <t>Tlaquepaque, Jalisco a</t>
  </si>
  <si>
    <t>**Precios y existencia sujeta a cambios.</t>
  </si>
  <si>
    <t xml:space="preserve">                                                   Email: mluevano@sercomin.com.mx  /  mluevano_sercomin@hotmail.com</t>
  </si>
  <si>
    <t xml:space="preserve">                                                          Oficina. (33) 4078 0796</t>
  </si>
  <si>
    <t>** Vigencia de cotización 15 DIAS</t>
  </si>
  <si>
    <t>Cel: 33 12423096</t>
  </si>
  <si>
    <t>}</t>
  </si>
  <si>
    <t>S/N</t>
  </si>
  <si>
    <t xml:space="preserve">   </t>
  </si>
  <si>
    <t xml:space="preserve">        </t>
  </si>
  <si>
    <r>
      <t>**</t>
    </r>
    <r>
      <rPr>
        <b/>
        <sz val="14"/>
        <color theme="1"/>
        <rFont val="Sansation"/>
      </rPr>
      <t>Penalizacion</t>
    </r>
    <r>
      <rPr>
        <sz val="14"/>
        <color theme="1"/>
        <rFont val="Sansation"/>
      </rPr>
      <t xml:space="preserve"> por cancelacion del 40%</t>
    </r>
  </si>
  <si>
    <t xml:space="preserve"> ,    </t>
  </si>
  <si>
    <t>PZ</t>
  </si>
  <si>
    <t>** Tiempo de entrega 1/2 DIA</t>
  </si>
  <si>
    <t>1/2 DIAS</t>
  </si>
  <si>
    <t>producto</t>
  </si>
  <si>
    <t>depende producto</t>
  </si>
  <si>
    <t>Ing. TRABJADOR QUE INGRESOA. COTIZADOR</t>
  </si>
  <si>
    <t>SRCM NO. GENERA AUTOMATICAMENTE EN ORDEN.</t>
  </si>
  <si>
    <t>Con At´n:  NOMBRE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</si>
</sst>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;[Red]\-&quot;$&quot;#,##0"/>
    <numFmt numFmtId="165" formatCode="_-&quot;$&quot;* #,##0.00_-;\-&quot;$&quot;* #,##0.00_-;_-&quot;$&quot;* &quot;-&quot;??_-;_-@_-"/>
    <numFmt numFmtId="166" formatCode="_-* #,##0.00_-;\-* #,##0.00_-;_-* &quot;-&quot;??_-;_-@_-"/>
    <numFmt numFmtId="167" formatCode="&quot;$&quot;#,##0.00"/>
    <numFmt numFmtId="168" formatCode="[$-80A]d&quot; de &quot;mmmm&quot; de &quot;yyyy;@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Sansation"/>
    </font>
    <font>
      <sz val="14"/>
      <color theme="1"/>
      <name val="Sansation"/>
    </font>
    <font>
      <b/>
      <sz val="14"/>
      <color rgb="FF000000"/>
      <name val="Sansation"/>
    </font>
    <font>
      <sz val="14"/>
      <color rgb="FF000000"/>
      <name val="Sansation"/>
    </font>
    <font>
      <sz val="14"/>
      <name val="Sansation"/>
    </font>
    <font>
      <sz val="14"/>
      <color theme="0"/>
      <name val="Sansation"/>
    </font>
    <font>
      <b/>
      <sz val="14"/>
      <color theme="0"/>
      <name val="Sansation"/>
    </font>
    <font>
      <i/>
      <sz val="14"/>
      <color rgb="FF000000"/>
      <name val="Sansation"/>
    </font>
    <font>
      <b/>
      <i/>
      <sz val="14"/>
      <color theme="1"/>
      <name val="Sansation"/>
    </font>
    <font>
      <b/>
      <i/>
      <sz val="14"/>
      <color rgb="FF000000"/>
      <name val="Sansation"/>
    </font>
    <font>
      <sz val="16"/>
      <color theme="1"/>
      <name val="Sansation"/>
    </font>
    <font>
      <b/>
      <sz val="13"/>
      <color rgb="FF000000"/>
      <name val="Sansation"/>
    </font>
    <font>
      <b/>
      <sz val="16"/>
      <color theme="1"/>
      <name val="Sansation"/>
    </font>
    <font>
      <b/>
      <sz val="18"/>
      <color rgb="FF000000"/>
      <name val="Sansation"/>
    </font>
    <font>
      <b/>
      <sz val="18"/>
      <color theme="1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rgb="FFF5801F"/>
        <bgColor indexed="64"/>
      </patternFill>
    </fill>
    <fill>
      <patternFill patternType="solid">
        <fgColor rgb="FFF5770F"/>
        <bgColor indexed="64"/>
      </patternFill>
    </fill>
  </fills>
  <borders count="8">
    <border>
      <left/>
      <right/>
      <top/>
      <bottom/>
      <diagonal/>
    </border>
    <border>
      <left/>
      <right/>
      <top style="medium">
        <color rgb="FFE36C0A"/>
      </top>
      <bottom/>
      <diagonal/>
    </border>
    <border>
      <left/>
      <right style="medium">
        <color rgb="FFE36C0A"/>
      </right>
      <top style="medium">
        <color rgb="FFE36C0A"/>
      </top>
      <bottom/>
      <diagonal/>
    </border>
    <border>
      <left/>
      <right style="medium">
        <color rgb="FFF79646"/>
      </right>
      <top style="medium">
        <color rgb="FFE36C0A"/>
      </top>
      <bottom style="medium">
        <color rgb="FFE36C0A"/>
      </bottom>
      <diagonal/>
    </border>
    <border>
      <left/>
      <right style="medium">
        <color rgb="FFE36C0A"/>
      </right>
      <top/>
      <bottom/>
      <diagonal/>
    </border>
    <border>
      <left style="medium">
        <color rgb="FFFF6801"/>
      </left>
      <right style="medium">
        <color rgb="FFFF6801"/>
      </right>
      <top style="medium">
        <color rgb="FFFF6801"/>
      </top>
      <bottom style="medium">
        <color rgb="FFFF6801"/>
      </bottom>
      <diagonal/>
    </border>
    <border>
      <left style="medium">
        <color rgb="FFFF6801"/>
      </left>
      <right style="medium">
        <color rgb="FFFF6801"/>
      </right>
      <top style="medium">
        <color rgb="FFFF6801"/>
      </top>
      <bottom/>
      <diagonal/>
    </border>
    <border>
      <left style="medium">
        <color rgb="FFFF6801"/>
      </left>
      <right style="medium">
        <color rgb="FFFF6801"/>
      </right>
      <top/>
      <bottom style="medium">
        <color rgb="FFFF6801"/>
      </bottom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39">
    <xf numFmtId="0" fontId="0" fillId="0" borderId="0" xfId="0"/>
    <xf numFmtId="0" fontId="3" fillId="0" borderId="0" xfId="0" applyFont="1"/>
    <xf numFmtId="166" fontId="3" fillId="0" borderId="2" xfId="1" applyFont="1" applyBorder="1" applyAlignment="1">
      <alignment horizontal="right" vertical="center" wrapText="1"/>
    </xf>
    <xf numFmtId="167" fontId="3" fillId="0" borderId="3" xfId="1" applyNumberFormat="1" applyFont="1" applyBorder="1" applyAlignment="1">
      <alignment horizontal="center" vertical="center" wrapText="1"/>
    </xf>
    <xf numFmtId="166" fontId="3" fillId="0" borderId="4" xfId="1" applyFont="1" applyBorder="1" applyAlignment="1">
      <alignment horizontal="right" vertical="center" wrapText="1"/>
    </xf>
    <xf numFmtId="0" fontId="4" fillId="0" borderId="0" xfId="0" applyFont="1"/>
    <xf numFmtId="0" fontId="5" fillId="2" borderId="6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" fontId="7" fillId="0" borderId="0" xfId="1" applyNumberFormat="1" applyFont="1" applyAlignment="1">
      <alignment horizontal="center" vertical="center" wrapText="1"/>
    </xf>
    <xf numFmtId="1" fontId="7" fillId="0" borderId="0" xfId="0" applyNumberFormat="1" applyFont="1" applyAlignment="1">
      <alignment horizontal="center" vertical="center"/>
    </xf>
    <xf numFmtId="165" fontId="6" fillId="0" borderId="0" xfId="2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167" fontId="9" fillId="0" borderId="1" xfId="1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right" vertical="center"/>
    </xf>
    <xf numFmtId="166" fontId="4" fillId="0" borderId="0" xfId="1" applyFont="1"/>
    <xf numFmtId="0" fontId="12" fillId="0" borderId="0" xfId="0" applyFont="1" applyAlignment="1">
      <alignment vertical="center"/>
    </xf>
    <xf numFmtId="0" fontId="13" fillId="0" borderId="0" xfId="0" applyFont="1" applyAlignment="1">
      <alignment horizontal="right"/>
    </xf>
    <xf numFmtId="168" fontId="13" fillId="0" borderId="0" xfId="0" applyNumberFormat="1" applyFont="1" applyAlignment="1">
      <alignment horizontal="left"/>
    </xf>
    <xf numFmtId="0" fontId="14" fillId="3" borderId="5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 wrapText="1"/>
    </xf>
    <xf numFmtId="167" fontId="14" fillId="3" borderId="5" xfId="0" applyNumberFormat="1" applyFont="1" applyFill="1" applyBorder="1" applyAlignment="1">
      <alignment horizontal="center" vertical="center" wrapText="1"/>
    </xf>
    <xf numFmtId="0" fontId="15" fillId="0" borderId="0" xfId="0" applyFont="1"/>
    <xf numFmtId="167" fontId="4" fillId="0" borderId="0" xfId="0" applyNumberFormat="1" applyFont="1"/>
    <xf numFmtId="164" fontId="6" fillId="0" borderId="0" xfId="2" applyNumberFormat="1" applyFont="1" applyAlignment="1">
      <alignment horizontal="right" vertical="center" wrapText="1"/>
    </xf>
    <xf numFmtId="0" fontId="3" fillId="0" borderId="0" xfId="0" applyFont="1" applyAlignment="1">
      <alignment horizontal="center" vertical="center"/>
    </xf>
    <xf numFmtId="0" fontId="17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4" fillId="3" borderId="5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colors>
    <mruColors>
      <color rgb="FFFF6801"/>
      <color rgb="FFF5770F"/>
      <color rgb="FFF5801F"/>
      <color rgb="FFF68222"/>
      <color rgb="FFF262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1</xdr:row>
      <xdr:rowOff>7285</xdr:rowOff>
    </xdr:from>
    <xdr:to>
      <xdr:col>4</xdr:col>
      <xdr:colOff>1977667</xdr:colOff>
      <xdr:row>6</xdr:row>
      <xdr:rowOff>224367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4AD1DDD-3633-4BC0-9B2C-AF67996AEC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953" b="89100" l="3492" r="96369">
                      <a14:foregroundMark x1="6844" y1="27488" x2="6844" y2="27488"/>
                      <a14:foregroundMark x1="3631" y1="31754" x2="3631" y2="31754"/>
                      <a14:foregroundMark x1="16620" y1="34123" x2="16620" y2="34123"/>
                      <a14:foregroundMark x1="28352" y1="28910" x2="28352" y2="28910"/>
                      <a14:foregroundMark x1="26117" y1="74408" x2="26117" y2="74408"/>
                      <a14:foregroundMark x1="18855" y1="81517" x2="18855" y2="81517"/>
                      <a14:foregroundMark x1="20391" y1="84834" x2="20391" y2="84834"/>
                      <a14:foregroundMark x1="21229" y1="83412" x2="21229" y2="83412"/>
                      <a14:foregroundMark x1="19972" y1="88626" x2="19972" y2="88626"/>
                      <a14:foregroundMark x1="28212" y1="72986" x2="28212" y2="72986"/>
                      <a14:foregroundMark x1="33520" y1="37915" x2="33520" y2="37915"/>
                      <a14:foregroundMark x1="23184" y1="27488" x2="23184" y2="27488"/>
                      <a14:foregroundMark x1="22067" y1="26540" x2="22067" y2="26540"/>
                      <a14:foregroundMark x1="37291" y1="38389" x2="37291" y2="38389"/>
                      <a14:foregroundMark x1="44832" y1="37441" x2="44832" y2="37441"/>
                      <a14:foregroundMark x1="45810" y1="37441" x2="45810" y2="37441"/>
                      <a14:foregroundMark x1="47067" y1="37441" x2="47067" y2="37441"/>
                      <a14:foregroundMark x1="52235" y1="37915" x2="52235" y2="37915"/>
                      <a14:foregroundMark x1="53771" y1="37915" x2="53771" y2="37915"/>
                      <a14:foregroundMark x1="59916" y1="37915" x2="59916" y2="37915"/>
                      <a14:foregroundMark x1="67737" y1="38389" x2="67737" y2="38389"/>
                      <a14:foregroundMark x1="75559" y1="37915" x2="75559" y2="37915"/>
                      <a14:foregroundMark x1="81844" y1="37915" x2="81844" y2="37915"/>
                      <a14:foregroundMark x1="80587" y1="42180" x2="80587" y2="42180"/>
                      <a14:foregroundMark x1="90642" y1="44550" x2="90642" y2="44550"/>
                      <a14:foregroundMark x1="94413" y1="47867" x2="94413" y2="47867"/>
                      <a14:foregroundMark x1="95112" y1="38863" x2="95112" y2="38863"/>
                      <a14:foregroundMark x1="95531" y1="38389" x2="95531" y2="38389"/>
                      <a14:foregroundMark x1="96369" y1="37915" x2="96369" y2="37915"/>
                      <a14:foregroundMark x1="32821" y1="45498" x2="32821" y2="45498"/>
                      <a14:foregroundMark x1="31844" y1="45498" x2="31844" y2="45498"/>
                      <a14:foregroundMark x1="30587" y1="46919" x2="30587" y2="46919"/>
                      <a14:foregroundMark x1="27933" y1="73934" x2="27933" y2="73934"/>
                      <a14:foregroundMark x1="31145" y1="60190" x2="31145" y2="60190"/>
                      <a14:foregroundMark x1="96229" y1="41232" x2="96229" y2="41232"/>
                      <a14:foregroundMark x1="95950" y1="43602" x2="95950" y2="43602"/>
                      <a14:foregroundMark x1="95670" y1="46919" x2="95670" y2="46919"/>
                      <a14:foregroundMark x1="95251" y1="49289" x2="95251" y2="49289"/>
                      <a14:foregroundMark x1="95112" y1="52607" x2="95112" y2="52607"/>
                      <a14:foregroundMark x1="72905" y1="58294" x2="72905" y2="58294"/>
                      <a14:foregroundMark x1="74721" y1="58294" x2="74721" y2="58294"/>
                      <a14:foregroundMark x1="76816" y1="53081" x2="76816" y2="53081"/>
                      <a14:foregroundMark x1="76676" y1="50237" x2="76676" y2="50237"/>
                      <a14:foregroundMark x1="75838" y1="51185" x2="75838" y2="51185"/>
                      <a14:foregroundMark x1="77095" y1="58768" x2="77095" y2="58768"/>
                      <a14:foregroundMark x1="80447" y1="52607" x2="80447" y2="52607"/>
                      <a14:foregroundMark x1="45391" y1="37915" x2="45391" y2="37915"/>
                      <a14:foregroundMark x1="46508" y1="37915" x2="46508" y2="37915"/>
                      <a14:foregroundMark x1="54330" y1="58294" x2="54330" y2="58294"/>
                      <a14:foregroundMark x1="52654" y1="53555" x2="52654" y2="53555"/>
                      <a14:foregroundMark x1="40084" y1="53555" x2="40084" y2="53555"/>
                      <a14:foregroundMark x1="81564" y1="51659" x2="81564" y2="51659"/>
                      <a14:foregroundMark x1="94832" y1="54028" x2="94832" y2="54028"/>
                      <a14:foregroundMark x1="94972" y1="52133" x2="94972" y2="52133"/>
                      <a14:foregroundMark x1="94972" y1="52607" x2="94972" y2="52607"/>
                      <a14:foregroundMark x1="94972" y1="53081" x2="94972" y2="53081"/>
                      <a14:foregroundMark x1="44693" y1="37441" x2="44693" y2="37441"/>
                      <a14:foregroundMark x1="44832" y1="37441" x2="47295" y2="38321"/>
                      <a14:foregroundMark x1="44832" y1="37441" x2="44832" y2="37441"/>
                      <a14:foregroundMark x1="44693" y1="37441" x2="44693" y2="37441"/>
                      <a14:foregroundMark x1="44553" y1="37441" x2="44553" y2="37441"/>
                      <a14:foregroundMark x1="44413" y1="37441" x2="45391" y2="37441"/>
                      <a14:foregroundMark x1="60475" y1="37441" x2="60475" y2="37441"/>
                      <a14:foregroundMark x1="59916" y1="37915" x2="59916" y2="37915"/>
                      <a14:foregroundMark x1="59777" y1="38389" x2="59777" y2="38389"/>
                      <a14:foregroundMark x1="59777" y1="37441" x2="60196" y2="37915"/>
                      <a14:foregroundMark x1="64106" y1="45972" x2="64106" y2="45972"/>
                      <a14:foregroundMark x1="63408" y1="45972" x2="63408" y2="45972"/>
                      <a14:foregroundMark x1="59916" y1="47393" x2="59916" y2="47393"/>
                      <a14:foregroundMark x1="59777" y1="48815" x2="59777" y2="48815"/>
                      <a14:foregroundMark x1="59637" y1="51185" x2="59637" y2="51185"/>
                      <a14:foregroundMark x1="60056" y1="53081" x2="60056" y2="53081"/>
                      <a14:foregroundMark x1="38408" y1="44076" x2="38628" y2="44123"/>
                      <a14:foregroundMark x1="40088" y1="53058" x2="40223" y2="53081"/>
                      <a14:foregroundMark x1="37430" y1="52607" x2="37565" y2="52630"/>
                      <a14:foregroundMark x1="38408" y1="43602" x2="38408" y2="43602"/>
                      <a14:foregroundMark x1="44928" y1="52637" x2="44693" y2="52607"/>
                      <a14:foregroundMark x1="48464" y1="53081" x2="48340" y2="53065"/>
                      <a14:foregroundMark x1="46321" y1="43602" x2="45810" y2="43602"/>
                      <a14:backgroundMark x1="37570" y1="67299" x2="37570" y2="67299"/>
                      <a14:backgroundMark x1="37989" y1="67299" x2="52654" y2="66825"/>
                      <a14:backgroundMark x1="52654" y1="66825" x2="67737" y2="69194"/>
                      <a14:backgroundMark x1="67737" y1="69194" x2="80447" y2="66351"/>
                      <a14:backgroundMark x1="80447" y1="66351" x2="92877" y2="66825"/>
                      <a14:backgroundMark x1="22765" y1="25592" x2="22765" y2="25592"/>
                      <a14:backgroundMark x1="61313" y1="48341" x2="61313" y2="48341"/>
                      <a14:backgroundMark x1="61173" y1="51185" x2="61173" y2="51185"/>
                      <a14:backgroundMark x1="60196" y1="50711" x2="60196" y2="50711"/>
                      <a14:backgroundMark x1="59916" y1="51659" x2="59916" y2="51659"/>
                      <a14:backgroundMark x1="63966" y1="47867" x2="63966" y2="47867"/>
                      <a14:backgroundMark x1="64525" y1="47867" x2="64525" y2="47867"/>
                      <a14:backgroundMark x1="64944" y1="47867" x2="64944" y2="47867"/>
                      <a14:backgroundMark x1="69274" y1="48341" x2="69274" y2="48341"/>
                      <a14:backgroundMark x1="76117" y1="53555" x2="76117" y2="53555"/>
                      <a14:backgroundMark x1="76257" y1="51185" x2="76257" y2="51185"/>
                      <a14:backgroundMark x1="74581" y1="38389" x2="74581" y2="38389"/>
                      <a14:backgroundMark x1="74581" y1="39810" x2="74581" y2="39810"/>
                      <a14:backgroundMark x1="79190" y1="44550" x2="79190" y2="44550"/>
                      <a14:backgroundMark x1="79190" y1="45972" x2="79190" y2="45972"/>
                      <a14:backgroundMark x1="80726" y1="54976" x2="80726" y2="54976"/>
                      <a14:backgroundMark x1="80866" y1="52607" x2="80866" y2="52607"/>
                      <a14:backgroundMark x1="76397" y1="49763" x2="76397" y2="49763"/>
                      <a14:backgroundMark x1="81145" y1="51185" x2="81145" y2="51185"/>
                      <a14:backgroundMark x1="89525" y1="51185" x2="89525" y2="51185"/>
                      <a14:backgroundMark x1="89525" y1="49763" x2="89525" y2="49763"/>
                      <a14:backgroundMark x1="93156" y1="45498" x2="93156" y2="45498"/>
                      <a14:backgroundMark x1="93017" y1="47393" x2="93017" y2="47393"/>
                      <a14:backgroundMark x1="95251" y1="53081" x2="95251" y2="53081"/>
                      <a14:backgroundMark x1="95251" y1="52607" x2="95251" y2="52607"/>
                      <a14:backgroundMark x1="54050" y1="45972" x2="54050" y2="45972"/>
                      <a14:backgroundMark x1="53352" y1="45972" x2="53352" y2="45972"/>
                      <a14:backgroundMark x1="52933" y1="45972" x2="52933" y2="45972"/>
                      <a14:backgroundMark x1="54609" y1="45972" x2="54609" y2="45972"/>
                      <a14:backgroundMark x1="55028" y1="45498" x2="55028" y2="45498"/>
                      <a14:backgroundMark x1="30587" y1="46445" x2="30587" y2="46445"/>
                      <a14:backgroundMark x1="31983" y1="45024" x2="31983" y2="45024"/>
                      <a14:backgroundMark x1="25838" y1="12796" x2="25838" y2="12796"/>
                      <a14:backgroundMark x1="43575" y1="38389" x2="43575" y2="38389"/>
                      <a14:backgroundMark x1="72486" y1="58768" x2="72486" y2="58768"/>
                      <a14:backgroundMark x1="72626" y1="57346" x2="72626" y2="57346"/>
                      <a14:backgroundMark x1="81425" y1="50237" x2="81425" y2="50237"/>
                      <a14:backgroundMark x1="80587" y1="53555" x2="80587" y2="53555"/>
                      <a14:backgroundMark x1="75978" y1="51659" x2="75978" y2="51659"/>
                      <a14:backgroundMark x1="58520" y1="39336" x2="58520" y2="39336"/>
                      <a14:backgroundMark x1="58380" y1="39810" x2="58380" y2="39810"/>
                      <a14:backgroundMark x1="38547" y1="44550" x2="40642" y2="44550"/>
                      <a14:backgroundMark x1="37570" y1="52607" x2="40084" y2="53081"/>
                      <a14:backgroundMark x1="46229" y1="44076" x2="46229" y2="44076"/>
                      <a14:backgroundMark x1="46229" y1="44076" x2="49022" y2="44550"/>
                      <a14:backgroundMark x1="45112" y1="51659" x2="48603" y2="51659"/>
                    </a14:backgroundRemoval>
                  </a14:imgEffect>
                </a14:imgLayer>
              </a14:imgProps>
            </a:ext>
          </a:extLst>
        </a:blip>
        <a:srcRect l="1691" t="3827" r="2992" b="5981"/>
        <a:stretch/>
      </xdr:blipFill>
      <xdr:spPr>
        <a:xfrm>
          <a:off x="200024" y="249740"/>
          <a:ext cx="5084779" cy="1398951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luevano_sercomin@hotmail.com" TargetMode="External"/><Relationship Id="rId2" Type="http://schemas.openxmlformats.org/officeDocument/2006/relationships/hyperlink" Target="http://www.sercomin.com.mx/" TargetMode="External"/><Relationship Id="rId1" Type="http://schemas.openxmlformats.org/officeDocument/2006/relationships/hyperlink" Target="mailto:mluevano_sercomin@hotmail.com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0"/>
  <sheetViews>
    <sheetView tabSelected="1" zoomScale="75" zoomScaleNormal="55" zoomScalePageLayoutView="49" workbookViewId="0">
      <selection activeCell="E22" sqref="E22"/>
    </sheetView>
  </sheetViews>
  <sheetFormatPr baseColWidth="10" defaultColWidth="11.5" defaultRowHeight="18"/>
  <cols>
    <col min="1" max="1" width="21.1640625" style="5" customWidth="1"/>
    <col min="2" max="2" width="13.5" style="5" customWidth="1"/>
    <col min="3" max="3" width="1.33203125" style="5" customWidth="1"/>
    <col min="4" max="4" width="10.33203125" style="5" customWidth="1"/>
    <col min="5" max="5" width="94.6640625" style="5" customWidth="1"/>
    <col min="6" max="6" width="35.5" style="5" customWidth="1"/>
    <col min="7" max="7" width="24.5" style="5" customWidth="1"/>
    <col min="8" max="8" width="30.33203125" style="5" customWidth="1"/>
    <col min="9" max="9" width="24.83203125" style="5" customWidth="1"/>
    <col min="10" max="10" width="37.1640625" style="5" customWidth="1"/>
    <col min="11" max="11" width="15.83203125" style="5" customWidth="1"/>
    <col min="12" max="12" width="15.5" style="5" bestFit="1" customWidth="1"/>
    <col min="13" max="13" width="11.5" style="5"/>
    <col min="14" max="14" width="11.5" style="5" customWidth="1"/>
    <col min="15" max="16384" width="11.5" style="5"/>
  </cols>
  <sheetData>
    <row r="1" spans="1:12" ht="19" thickBot="1"/>
    <row r="2" spans="1:12" ht="19">
      <c r="J2" s="6" t="s">
        <v>0</v>
      </c>
    </row>
    <row r="3" spans="1:12" ht="19" thickBot="1">
      <c r="J3" s="7" t="s">
        <v>37</v>
      </c>
    </row>
    <row r="6" spans="1:12" ht="23">
      <c r="F6" s="32"/>
    </row>
    <row r="7" spans="1:12" ht="23">
      <c r="E7" s="5" t="s">
        <v>30</v>
      </c>
      <c r="F7" s="32"/>
    </row>
    <row r="8" spans="1:12" ht="23">
      <c r="F8" s="32"/>
    </row>
    <row r="9" spans="1:12" ht="23">
      <c r="F9" s="32"/>
    </row>
    <row r="10" spans="1:12" ht="23">
      <c r="F10" s="32"/>
      <c r="I10" s="23" t="s">
        <v>19</v>
      </c>
      <c r="J10" s="24">
        <f ca="1">TODAY()</f>
        <v>46120</v>
      </c>
    </row>
    <row r="11" spans="1:12" ht="23">
      <c r="A11" s="28" t="s">
        <v>38</v>
      </c>
      <c r="F11" s="32"/>
    </row>
    <row r="12" spans="1:12" ht="19" thickBot="1"/>
    <row r="13" spans="1:12" ht="27.5" customHeight="1" thickBot="1">
      <c r="A13" s="25" t="s">
        <v>1</v>
      </c>
      <c r="B13" s="35" t="s">
        <v>2</v>
      </c>
      <c r="C13" s="36"/>
      <c r="D13" s="36"/>
      <c r="E13" s="36"/>
      <c r="F13" s="26" t="s">
        <v>3</v>
      </c>
      <c r="G13" s="25" t="s">
        <v>4</v>
      </c>
      <c r="H13" s="25" t="s">
        <v>5</v>
      </c>
      <c r="I13" s="26" t="s">
        <v>6</v>
      </c>
      <c r="J13" s="27" t="s">
        <v>7</v>
      </c>
    </row>
    <row r="14" spans="1:12" ht="89.5" customHeight="1" thickBot="1">
      <c r="A14" s="8">
        <v>48</v>
      </c>
      <c r="B14" s="9" t="s">
        <v>31</v>
      </c>
      <c r="C14" s="13"/>
      <c r="D14" s="37" t="s">
        <v>34</v>
      </c>
      <c r="E14" s="38"/>
      <c r="F14" s="31" t="s">
        <v>26</v>
      </c>
      <c r="G14" s="11" t="s">
        <v>35</v>
      </c>
      <c r="H14" s="11" t="s">
        <v>35</v>
      </c>
      <c r="I14" s="11" t="s">
        <v>35</v>
      </c>
      <c r="J14" s="12" t="e">
        <f t="shared" ref="J14" si="0">I14*A14</f>
        <v>#VALUE!</v>
      </c>
      <c r="K14" s="29"/>
      <c r="L14" s="29"/>
    </row>
    <row r="15" spans="1:12" ht="89.5" hidden="1" customHeight="1" thickBot="1">
      <c r="A15" s="8"/>
      <c r="B15" s="9"/>
      <c r="C15" s="13"/>
      <c r="D15" s="37"/>
      <c r="E15" s="38"/>
      <c r="F15" s="31" t="s">
        <v>26</v>
      </c>
      <c r="G15" s="10">
        <v>100</v>
      </c>
      <c r="H15" s="11" t="s">
        <v>33</v>
      </c>
      <c r="I15" s="30"/>
      <c r="J15" s="12"/>
      <c r="K15" s="29"/>
      <c r="L15" s="29"/>
    </row>
    <row r="16" spans="1:12" ht="37.25" customHeight="1" thickBot="1">
      <c r="A16" s="14"/>
      <c r="B16" s="15"/>
      <c r="C16" s="15" t="s">
        <v>8</v>
      </c>
      <c r="D16" s="15" t="s">
        <v>27</v>
      </c>
      <c r="E16" s="15" t="s">
        <v>8</v>
      </c>
      <c r="F16" s="15"/>
      <c r="G16" s="16" t="s">
        <v>25</v>
      </c>
      <c r="H16" s="17"/>
      <c r="I16" s="2" t="s">
        <v>9</v>
      </c>
      <c r="J16" s="3" t="e">
        <f>SUM(J14:J15)</f>
        <v>#VALUE!</v>
      </c>
      <c r="K16" s="5" t="s">
        <v>8</v>
      </c>
      <c r="L16" s="29"/>
    </row>
    <row r="17" spans="1:13" ht="37.5" customHeight="1" thickBot="1">
      <c r="A17" s="18"/>
      <c r="B17" s="13"/>
      <c r="C17" s="13"/>
      <c r="I17" s="4" t="s">
        <v>10</v>
      </c>
      <c r="J17" s="3" t="e">
        <f>J16*0.16</f>
        <v>#VALUE!</v>
      </c>
    </row>
    <row r="18" spans="1:13" ht="27" customHeight="1" thickBot="1">
      <c r="A18" s="18"/>
      <c r="B18" s="13"/>
      <c r="C18" s="13"/>
      <c r="I18" s="4" t="s">
        <v>11</v>
      </c>
      <c r="J18" s="3" t="e">
        <f>J16+J17</f>
        <v>#VALUE!</v>
      </c>
      <c r="K18" s="1"/>
    </row>
    <row r="19" spans="1:13">
      <c r="I19" s="5" t="s">
        <v>28</v>
      </c>
    </row>
    <row r="21" spans="1:13">
      <c r="A21" s="19" t="s">
        <v>15</v>
      </c>
      <c r="K21" s="5" t="s">
        <v>8</v>
      </c>
    </row>
    <row r="22" spans="1:13">
      <c r="A22" s="19" t="s">
        <v>16</v>
      </c>
      <c r="K22" s="21" t="s">
        <v>8</v>
      </c>
      <c r="L22" s="21"/>
    </row>
    <row r="23" spans="1:13">
      <c r="A23" s="22" t="s">
        <v>13</v>
      </c>
      <c r="J23" s="20" t="s">
        <v>12</v>
      </c>
    </row>
    <row r="24" spans="1:13">
      <c r="A24" s="19" t="s">
        <v>32</v>
      </c>
      <c r="J24" s="20" t="s">
        <v>36</v>
      </c>
    </row>
    <row r="25" spans="1:13">
      <c r="A25" s="19" t="s">
        <v>20</v>
      </c>
      <c r="E25" s="5" t="s">
        <v>8</v>
      </c>
      <c r="J25" s="20" t="s">
        <v>24</v>
      </c>
      <c r="K25" s="5" t="s">
        <v>8</v>
      </c>
    </row>
    <row r="26" spans="1:13">
      <c r="A26" s="22" t="s">
        <v>23</v>
      </c>
      <c r="J26" s="20" t="s">
        <v>22</v>
      </c>
    </row>
    <row r="27" spans="1:13">
      <c r="A27" s="33" t="s">
        <v>18</v>
      </c>
      <c r="B27" s="34"/>
      <c r="C27" s="34"/>
      <c r="D27" s="34"/>
      <c r="J27" s="20" t="s">
        <v>21</v>
      </c>
      <c r="M27" s="5" t="s">
        <v>14</v>
      </c>
    </row>
    <row r="28" spans="1:13">
      <c r="A28" s="5" t="s">
        <v>29</v>
      </c>
      <c r="J28" s="20" t="s">
        <v>17</v>
      </c>
      <c r="M28" s="5" t="s">
        <v>8</v>
      </c>
    </row>
    <row r="55" spans="13:13">
      <c r="M55" s="5" t="s">
        <v>8</v>
      </c>
    </row>
    <row r="56" spans="13:13">
      <c r="M56" s="5" t="s">
        <v>8</v>
      </c>
    </row>
    <row r="57" spans="13:13">
      <c r="M57" s="5" t="s">
        <v>8</v>
      </c>
    </row>
    <row r="58" spans="13:13">
      <c r="M58" s="5" t="s">
        <v>8</v>
      </c>
    </row>
    <row r="59" spans="13:13">
      <c r="M59" s="5" t="s">
        <v>8</v>
      </c>
    </row>
    <row r="60" spans="13:13">
      <c r="M60" s="5" t="s">
        <v>8</v>
      </c>
    </row>
  </sheetData>
  <mergeCells count="4">
    <mergeCell ref="A27:D27"/>
    <mergeCell ref="B13:E13"/>
    <mergeCell ref="D14:E14"/>
    <mergeCell ref="D15:E15"/>
  </mergeCells>
  <phoneticPr fontId="2" type="noConversion"/>
  <hyperlinks>
    <hyperlink ref="J27" r:id="rId1" display="mailto:mluevano_sercomin@hotmail.com" xr:uid="{00000000-0004-0000-0000-000000000000}"/>
    <hyperlink ref="J28" r:id="rId2" xr:uid="{0C9990E4-BA0D-4D1B-9A2E-0CA832539D37}"/>
    <hyperlink ref="J26" r:id="rId3" display="mailto:mluevano_sercomin@hotmail.com" xr:uid="{B02E1ED4-2261-4528-AD89-CE294C79108B}"/>
  </hyperlinks>
  <pageMargins left="0.25" right="0.25" top="0.75" bottom="0.75" header="0.3" footer="0.3"/>
  <pageSetup scale="34" orientation="portrait" r:id="rId4"/>
  <headerFooter>
    <oddHeader>&amp;C
&amp;G</oddHeader>
    <oddFooter>&amp;C&amp;"Sansation,Cursiva"&amp;80&amp;KFF6801/&amp;20&amp;K01+000Oficina / Taller: Mariano Abasolo 2039 Col. Los Puestos CP 45638, Tlaquepaque Jalisco     &amp;80&amp;KFF6801/&amp;20&amp;K01+000
www.sercomin.com.mx
&amp;R&amp;"Sansation,Normal"&amp;16&amp;N</oddFooter>
  </headerFooter>
  <drawing r:id="rId5"/>
  <legacyDrawingHF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SERCOMIN</vt:lpstr>
      <vt:lpstr>SERCOMIN!Print_Area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</dc:creator>
  <cp:keywords/>
  <dc:description/>
  <cp:lastModifiedBy>Manuel  Luevano</cp:lastModifiedBy>
  <cp:revision/>
  <cp:lastPrinted>2025-11-03T17:54:10Z</cp:lastPrinted>
  <dcterms:created xsi:type="dcterms:W3CDTF">2015-05-13T15:50:12Z</dcterms:created>
  <dcterms:modified xsi:type="dcterms:W3CDTF">2026-04-08T16:49:47Z</dcterms:modified>
  <cp:category/>
  <cp:contentStatus/>
</cp:coreProperties>
</file>